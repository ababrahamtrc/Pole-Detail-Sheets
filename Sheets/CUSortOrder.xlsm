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E2217AE2-32A2-4A19-ABA5-5EE351BF74CE}" xr6:coauthVersionLast="47" xr6:coauthVersionMax="47" xr10:uidLastSave="{00000000-0000-0000-0000-000000000000}"/>
  <bookViews>
    <workbookView xWindow="-120" yWindow="-120" windowWidth="29040" windowHeight="15720" xr2:uid="{6B0F551D-E434-4987-A3F4-7EF07419D301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6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5" i="1" l="1"/>
  <c r="B46" i="1" s="1"/>
  <c r="B47" i="1" s="1"/>
  <c r="B53" i="1" s="1"/>
  <c r="B54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3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109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1" i="1" s="1"/>
  <c r="B142" i="1" s="1"/>
  <c r="B143" i="1" s="1"/>
  <c r="B144" i="1" s="1"/>
  <c r="B145" i="1" s="1"/>
  <c r="B146" i="1" s="1"/>
  <c r="B147" i="1" s="1"/>
  <c r="B4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<sst xmlns="http://schemas.openxmlformats.org/spreadsheetml/2006/main" count="209" uniqueCount="209">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</sst>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Collection"/>
      <sheetName val="Anchor.Guy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8A325-DF1F-4A4A-8458-E498CCD0F6CB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 t="shared" ref="B3:B4" si="0"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 t="shared" si="0"/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 t="shared" ref="B10:B42" si="1">B9</f>
        <v>5</v>
      </c>
    </row>
    <row r="11" spans="1:7" x14ac:dyDescent="0.25">
      <c r="A11" s="4">
        <v>100928</v>
      </c>
      <c r="B11" s="2">
        <f t="shared" si="1"/>
        <v>5</v>
      </c>
    </row>
    <row r="12" spans="1:7" x14ac:dyDescent="0.25">
      <c r="A12" s="1">
        <v>200054</v>
      </c>
      <c r="B12" s="2">
        <f t="shared" si="1"/>
        <v>5</v>
      </c>
    </row>
    <row r="13" spans="1:7" x14ac:dyDescent="0.25">
      <c r="A13" s="1">
        <v>100949</v>
      </c>
      <c r="B13" s="2">
        <f t="shared" si="1"/>
        <v>5</v>
      </c>
    </row>
    <row r="14" spans="1:7" x14ac:dyDescent="0.25">
      <c r="A14" s="1">
        <v>200051</v>
      </c>
      <c r="B14" s="2">
        <f t="shared" si="1"/>
        <v>5</v>
      </c>
    </row>
    <row r="15" spans="1:7" x14ac:dyDescent="0.25">
      <c r="A15" s="1">
        <v>100948</v>
      </c>
      <c r="B15" s="2">
        <f t="shared" si="1"/>
        <v>5</v>
      </c>
    </row>
    <row r="16" spans="1:7" x14ac:dyDescent="0.25">
      <c r="A16" s="1" t="s">
        <v>20</v>
      </c>
      <c r="B16" s="2">
        <f t="shared" si="1"/>
        <v>5</v>
      </c>
    </row>
    <row r="17" spans="1:2" x14ac:dyDescent="0.25">
      <c r="A17" s="1" t="s">
        <v>21</v>
      </c>
      <c r="B17" s="2">
        <f t="shared" si="1"/>
        <v>5</v>
      </c>
    </row>
    <row r="18" spans="1:2" x14ac:dyDescent="0.25">
      <c r="A18" s="1" t="s">
        <v>22</v>
      </c>
      <c r="B18" s="2">
        <f t="shared" si="1"/>
        <v>5</v>
      </c>
    </row>
    <row r="19" spans="1:2" x14ac:dyDescent="0.25">
      <c r="A19" s="1" t="s">
        <v>23</v>
      </c>
      <c r="B19" s="2">
        <f t="shared" si="1"/>
        <v>5</v>
      </c>
    </row>
    <row r="20" spans="1:2" x14ac:dyDescent="0.25">
      <c r="A20" s="1" t="s">
        <v>24</v>
      </c>
      <c r="B20" s="2">
        <f t="shared" si="1"/>
        <v>5</v>
      </c>
    </row>
    <row r="21" spans="1:2" x14ac:dyDescent="0.25">
      <c r="A21" s="1" t="s">
        <v>25</v>
      </c>
      <c r="B21" s="2">
        <f t="shared" si="1"/>
        <v>5</v>
      </c>
    </row>
    <row r="22" spans="1:2" x14ac:dyDescent="0.25">
      <c r="A22" s="1" t="s">
        <v>26</v>
      </c>
      <c r="B22" s="2">
        <f t="shared" si="1"/>
        <v>5</v>
      </c>
    </row>
    <row r="23" spans="1:2" x14ac:dyDescent="0.25">
      <c r="A23" s="1" t="s">
        <v>27</v>
      </c>
      <c r="B23" s="2">
        <f t="shared" si="1"/>
        <v>5</v>
      </c>
    </row>
    <row r="24" spans="1:2" x14ac:dyDescent="0.25">
      <c r="A24" s="1" t="s">
        <v>28</v>
      </c>
      <c r="B24" s="2">
        <f t="shared" si="1"/>
        <v>5</v>
      </c>
    </row>
    <row r="25" spans="1:2" x14ac:dyDescent="0.25">
      <c r="A25" s="1" t="s">
        <v>29</v>
      </c>
      <c r="B25" s="2">
        <f t="shared" si="1"/>
        <v>5</v>
      </c>
    </row>
    <row r="26" spans="1:2" x14ac:dyDescent="0.25">
      <c r="A26" s="1" t="s">
        <v>30</v>
      </c>
      <c r="B26" s="2">
        <f t="shared" si="1"/>
        <v>5</v>
      </c>
    </row>
    <row r="27" spans="1:2" x14ac:dyDescent="0.25">
      <c r="A27" s="1" t="s">
        <v>31</v>
      </c>
      <c r="B27" s="2">
        <f t="shared" si="1"/>
        <v>5</v>
      </c>
    </row>
    <row r="28" spans="1:2" x14ac:dyDescent="0.25">
      <c r="A28" s="1" t="s">
        <v>32</v>
      </c>
      <c r="B28" s="2">
        <f t="shared" si="1"/>
        <v>5</v>
      </c>
    </row>
    <row r="29" spans="1:2" x14ac:dyDescent="0.25">
      <c r="A29" s="1" t="s">
        <v>33</v>
      </c>
      <c r="B29" s="2">
        <f t="shared" si="1"/>
        <v>5</v>
      </c>
    </row>
    <row r="30" spans="1:2" x14ac:dyDescent="0.25">
      <c r="A30" s="1" t="s">
        <v>34</v>
      </c>
      <c r="B30" s="2">
        <f t="shared" si="1"/>
        <v>5</v>
      </c>
    </row>
    <row r="31" spans="1:2" x14ac:dyDescent="0.25">
      <c r="A31" s="1" t="s">
        <v>35</v>
      </c>
      <c r="B31" s="2">
        <f t="shared" si="1"/>
        <v>5</v>
      </c>
    </row>
    <row r="32" spans="1:2" x14ac:dyDescent="0.25">
      <c r="A32" s="1" t="s">
        <v>36</v>
      </c>
      <c r="B32" s="2">
        <f t="shared" si="1"/>
        <v>5</v>
      </c>
    </row>
    <row r="33" spans="1:3" x14ac:dyDescent="0.25">
      <c r="A33" s="2">
        <v>100953</v>
      </c>
      <c r="B33" s="2">
        <f t="shared" si="1"/>
        <v>5</v>
      </c>
    </row>
    <row r="34" spans="1:3" x14ac:dyDescent="0.25">
      <c r="A34" s="2">
        <v>100952</v>
      </c>
      <c r="B34" s="2">
        <f t="shared" si="1"/>
        <v>5</v>
      </c>
    </row>
    <row r="35" spans="1:3" x14ac:dyDescent="0.25">
      <c r="A35" s="2">
        <v>100951</v>
      </c>
      <c r="B35" s="2">
        <f t="shared" si="1"/>
        <v>5</v>
      </c>
    </row>
    <row r="36" spans="1:3" x14ac:dyDescent="0.25">
      <c r="A36" s="2">
        <v>100964</v>
      </c>
      <c r="B36" s="2">
        <f t="shared" si="1"/>
        <v>5</v>
      </c>
    </row>
    <row r="37" spans="1:3" x14ac:dyDescent="0.25">
      <c r="A37" s="2">
        <v>200058</v>
      </c>
      <c r="B37" s="2">
        <f t="shared" si="1"/>
        <v>5</v>
      </c>
    </row>
    <row r="38" spans="1:3" x14ac:dyDescent="0.25">
      <c r="A38" s="2">
        <v>100960</v>
      </c>
      <c r="B38" s="2">
        <f t="shared" si="1"/>
        <v>5</v>
      </c>
    </row>
    <row r="39" spans="1:3" x14ac:dyDescent="0.25">
      <c r="A39" s="2">
        <v>200059</v>
      </c>
      <c r="B39" s="2">
        <f t="shared" si="1"/>
        <v>5</v>
      </c>
    </row>
    <row r="40" spans="1:3" x14ac:dyDescent="0.25">
      <c r="A40" s="2">
        <v>100969</v>
      </c>
      <c r="B40" s="2">
        <f t="shared" si="1"/>
        <v>5</v>
      </c>
    </row>
    <row r="41" spans="1:3" x14ac:dyDescent="0.25">
      <c r="A41" s="2">
        <v>200060</v>
      </c>
      <c r="B41" s="2">
        <f t="shared" si="1"/>
        <v>5</v>
      </c>
    </row>
    <row r="42" spans="1:3" x14ac:dyDescent="0.25">
      <c r="A42" s="2">
        <v>100967</v>
      </c>
      <c r="B42" s="2">
        <f t="shared" si="1"/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 t="shared" ref="B46:B47" si="2">B45+1</f>
        <v>7</v>
      </c>
      <c r="C46" s="2" t="s">
        <v>41</v>
      </c>
    </row>
    <row r="47" spans="1:3" x14ac:dyDescent="0.25">
      <c r="A47" s="1" t="s">
        <v>42</v>
      </c>
      <c r="B47" s="2">
        <f t="shared" si="2"/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 t="shared" ref="B62:B70" si="3">B61</f>
        <v>11</v>
      </c>
      <c r="C62" s="2" t="s">
        <v>70</v>
      </c>
    </row>
    <row r="63" spans="1:3" x14ac:dyDescent="0.25">
      <c r="A63" s="1" t="s">
        <v>71</v>
      </c>
      <c r="B63" s="2">
        <f t="shared" si="3"/>
        <v>11</v>
      </c>
      <c r="C63" s="2" t="s">
        <v>72</v>
      </c>
    </row>
    <row r="64" spans="1:3" x14ac:dyDescent="0.25">
      <c r="A64" s="1" t="s">
        <v>73</v>
      </c>
      <c r="B64" s="2">
        <f t="shared" si="3"/>
        <v>11</v>
      </c>
      <c r="C64" s="2" t="s">
        <v>74</v>
      </c>
    </row>
    <row r="65" spans="1:3" x14ac:dyDescent="0.25">
      <c r="A65" s="1" t="s">
        <v>75</v>
      </c>
      <c r="B65" s="2">
        <f t="shared" si="3"/>
        <v>11</v>
      </c>
      <c r="C65" s="2" t="s">
        <v>76</v>
      </c>
    </row>
    <row r="66" spans="1:3" x14ac:dyDescent="0.25">
      <c r="A66" s="1" t="s">
        <v>77</v>
      </c>
      <c r="B66" s="2">
        <f t="shared" si="3"/>
        <v>11</v>
      </c>
      <c r="C66" s="2" t="s">
        <v>78</v>
      </c>
    </row>
    <row r="67" spans="1:3" x14ac:dyDescent="0.25">
      <c r="A67" s="1" t="s">
        <v>79</v>
      </c>
      <c r="B67" s="2">
        <f t="shared" si="3"/>
        <v>11</v>
      </c>
      <c r="C67" s="2" t="s">
        <v>80</v>
      </c>
    </row>
    <row r="68" spans="1:3" x14ac:dyDescent="0.25">
      <c r="A68" s="1">
        <v>100180</v>
      </c>
      <c r="B68" s="2">
        <f t="shared" si="3"/>
        <v>11</v>
      </c>
      <c r="C68" s="2" t="s">
        <v>81</v>
      </c>
    </row>
    <row r="69" spans="1:3" x14ac:dyDescent="0.25">
      <c r="A69" s="1">
        <v>100179</v>
      </c>
      <c r="B69" s="2">
        <f t="shared" si="3"/>
        <v>11</v>
      </c>
      <c r="C69" s="2" t="s">
        <v>82</v>
      </c>
    </row>
    <row r="70" spans="1:3" x14ac:dyDescent="0.25">
      <c r="A70" s="1" t="s">
        <v>83</v>
      </c>
      <c r="B70" s="2">
        <f t="shared" si="3"/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 t="shared" ref="B75:B79" si="4">B74</f>
        <v>14</v>
      </c>
      <c r="C75" s="3" t="s">
        <v>92</v>
      </c>
    </row>
    <row r="76" spans="1:3" x14ac:dyDescent="0.25">
      <c r="A76" s="3">
        <v>100609</v>
      </c>
      <c r="B76" s="2">
        <f t="shared" si="4"/>
        <v>14</v>
      </c>
      <c r="C76" s="3" t="s">
        <v>93</v>
      </c>
    </row>
    <row r="77" spans="1:3" x14ac:dyDescent="0.25">
      <c r="A77" s="2">
        <v>100626</v>
      </c>
      <c r="B77" s="2">
        <f t="shared" si="4"/>
        <v>14</v>
      </c>
      <c r="C77" s="3" t="s">
        <v>94</v>
      </c>
    </row>
    <row r="78" spans="1:3" x14ac:dyDescent="0.25">
      <c r="A78" s="1" t="s">
        <v>95</v>
      </c>
      <c r="B78" s="2">
        <f t="shared" si="4"/>
        <v>14</v>
      </c>
      <c r="C78" s="2" t="s">
        <v>96</v>
      </c>
    </row>
    <row r="79" spans="1:3" x14ac:dyDescent="0.25">
      <c r="A79" s="1" t="s">
        <v>97</v>
      </c>
      <c r="B79" s="2">
        <f t="shared" si="4"/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 t="shared" ref="B91:B97" si="5">B90</f>
        <v>18</v>
      </c>
      <c r="C91" s="3" t="s">
        <v>122</v>
      </c>
    </row>
    <row r="92" spans="1:3" x14ac:dyDescent="0.25">
      <c r="A92" s="1" t="s">
        <v>123</v>
      </c>
      <c r="B92" s="2">
        <f t="shared" si="5"/>
        <v>18</v>
      </c>
      <c r="C92" s="3" t="s">
        <v>124</v>
      </c>
    </row>
    <row r="93" spans="1:3" x14ac:dyDescent="0.25">
      <c r="A93" s="1" t="s">
        <v>125</v>
      </c>
      <c r="B93" s="2">
        <f t="shared" si="5"/>
        <v>18</v>
      </c>
      <c r="C93" s="3" t="s">
        <v>126</v>
      </c>
    </row>
    <row r="94" spans="1:3" x14ac:dyDescent="0.25">
      <c r="A94" s="2">
        <v>101046</v>
      </c>
      <c r="B94" s="2">
        <f t="shared" si="5"/>
        <v>18</v>
      </c>
      <c r="C94" s="3" t="s">
        <v>127</v>
      </c>
    </row>
    <row r="95" spans="1:3" x14ac:dyDescent="0.25">
      <c r="A95" s="2">
        <v>101029</v>
      </c>
      <c r="B95" s="2">
        <f t="shared" si="5"/>
        <v>18</v>
      </c>
      <c r="C95" s="3" t="s">
        <v>128</v>
      </c>
    </row>
    <row r="96" spans="1:3" x14ac:dyDescent="0.25">
      <c r="A96" s="2">
        <v>101049</v>
      </c>
      <c r="B96" s="2">
        <f t="shared" si="5"/>
        <v>18</v>
      </c>
      <c r="C96" s="3" t="s">
        <v>129</v>
      </c>
    </row>
    <row r="97" spans="1:3" x14ac:dyDescent="0.25">
      <c r="A97" s="1" t="s">
        <v>130</v>
      </c>
      <c r="B97" s="2">
        <f t="shared" si="5"/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 t="shared" ref="B112:B115" si="6">B111+1</f>
        <v>21</v>
      </c>
      <c r="C112" s="3" t="s">
        <v>151</v>
      </c>
    </row>
    <row r="113" spans="1:3" x14ac:dyDescent="0.25">
      <c r="A113" s="3">
        <v>106122</v>
      </c>
      <c r="B113" s="2">
        <f t="shared" si="6"/>
        <v>22</v>
      </c>
      <c r="C113" s="3" t="s">
        <v>152</v>
      </c>
    </row>
    <row r="114" spans="1:3" x14ac:dyDescent="0.25">
      <c r="A114" s="3">
        <v>200155</v>
      </c>
      <c r="B114" s="2">
        <f t="shared" si="6"/>
        <v>23</v>
      </c>
      <c r="C114" s="3" t="s">
        <v>153</v>
      </c>
    </row>
    <row r="115" spans="1:3" x14ac:dyDescent="0.25">
      <c r="A115" s="3">
        <v>100063</v>
      </c>
      <c r="B115" s="2">
        <f t="shared" si="6"/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 t="shared" ref="B118:B119" si="7">B117+1</f>
        <v>26</v>
      </c>
      <c r="C118" s="2" t="s">
        <v>158</v>
      </c>
    </row>
    <row r="119" spans="1:3" x14ac:dyDescent="0.25">
      <c r="A119" s="1" t="s">
        <v>159</v>
      </c>
      <c r="B119" s="2">
        <f t="shared" si="7"/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 t="shared" ref="B121:B124" si="8">B120</f>
        <v>27</v>
      </c>
    </row>
    <row r="122" spans="1:3" x14ac:dyDescent="0.25">
      <c r="A122" s="1" t="s">
        <v>163</v>
      </c>
      <c r="B122" s="2">
        <f t="shared" si="8"/>
        <v>27</v>
      </c>
    </row>
    <row r="123" spans="1:3" x14ac:dyDescent="0.25">
      <c r="A123" s="1" t="s">
        <v>164</v>
      </c>
      <c r="B123" s="2">
        <f t="shared" si="8"/>
        <v>27</v>
      </c>
    </row>
    <row r="124" spans="1:3" x14ac:dyDescent="0.25">
      <c r="A124" s="1" t="s">
        <v>165</v>
      </c>
      <c r="B124" s="2">
        <f t="shared" si="8"/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 t="shared" ref="B128:B131" si="9">B127</f>
        <v>29</v>
      </c>
    </row>
    <row r="129" spans="1:3" x14ac:dyDescent="0.25">
      <c r="A129" s="1" t="s">
        <v>173</v>
      </c>
      <c r="B129" s="2">
        <f t="shared" si="9"/>
        <v>29</v>
      </c>
    </row>
    <row r="130" spans="1:3" x14ac:dyDescent="0.25">
      <c r="A130" s="1" t="s">
        <v>174</v>
      </c>
      <c r="B130" s="2">
        <f t="shared" si="9"/>
        <v>29</v>
      </c>
    </row>
    <row r="131" spans="1:3" x14ac:dyDescent="0.25">
      <c r="A131" s="1" t="s">
        <v>175</v>
      </c>
      <c r="B131" s="2">
        <f t="shared" si="9"/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 t="shared" ref="B143:B147" si="10">B142+1</f>
        <v>35</v>
      </c>
      <c r="C143" s="2" t="s">
        <v>200</v>
      </c>
    </row>
    <row r="144" spans="1:3" x14ac:dyDescent="0.25">
      <c r="A144" s="1" t="s">
        <v>201</v>
      </c>
      <c r="B144" s="2">
        <f t="shared" si="10"/>
        <v>36</v>
      </c>
      <c r="C144" s="2" t="s">
        <v>202</v>
      </c>
    </row>
    <row r="145" spans="1:3" x14ac:dyDescent="0.25">
      <c r="A145" s="1" t="s">
        <v>203</v>
      </c>
      <c r="B145" s="2">
        <f t="shared" si="10"/>
        <v>37</v>
      </c>
      <c r="C145" s="2" t="s">
        <v>204</v>
      </c>
    </row>
    <row r="146" spans="1:3" x14ac:dyDescent="0.25">
      <c r="A146" s="1" t="s">
        <v>205</v>
      </c>
      <c r="B146" s="2">
        <f t="shared" si="10"/>
        <v>38</v>
      </c>
      <c r="C146" s="2" t="s">
        <v>206</v>
      </c>
    </row>
    <row r="147" spans="1:3" x14ac:dyDescent="0.25">
      <c r="A147" s="1" t="s">
        <v>207</v>
      </c>
      <c r="B147" s="2">
        <f t="shared" si="10"/>
        <v>39</v>
      </c>
      <c r="C147" s="2" t="s">
        <v>208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2026-04-25T21:45:52Z</dcterms:created>
  <dcterms:modified xsi:type="dcterms:W3CDTF">2026-04-25T21:45:52Z</dcterms:modified>
</cp:coreProperties>
</file>